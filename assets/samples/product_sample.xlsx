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제품내역서" sheetId="1" r:id="rId5"/>
  </sheets>
  <definedNames/>
  <calcPr/>
</workbook>
</file>

<file path=xl/sharedStrings.xml><?xml version="1.0" encoding="utf-8"?>
<sst xmlns="http://schemas.openxmlformats.org/spreadsheetml/2006/main" count="24" uniqueCount="21">
  <si>
    <t>품명</t>
  </si>
  <si>
    <t>모델</t>
  </si>
  <si>
    <t>단위</t>
  </si>
  <si>
    <t>수량</t>
  </si>
  <si>
    <t>재 료 비</t>
  </si>
  <si>
    <t>출고가(VAT포함)</t>
  </si>
  <si>
    <t>DC</t>
  </si>
  <si>
    <t>단 가</t>
  </si>
  <si>
    <t>금 액</t>
  </si>
  <si>
    <t>DVM S2프라임
 (1등급)</t>
  </si>
  <si>
    <t>AM100AXVHHH1</t>
  </si>
  <si>
    <t>대</t>
  </si>
  <si>
    <t>스텐드 실내기(PAC)</t>
  </si>
  <si>
    <t>AM290CNPDBH1</t>
  </si>
  <si>
    <t>PAC 프리미엄</t>
  </si>
  <si>
    <t>AP083BAPPBH2S</t>
  </si>
  <si>
    <t>EA</t>
  </si>
  <si>
    <t>기본배관 8M</t>
  </si>
  <si>
    <t>FPH-3858XS5</t>
  </si>
  <si>
    <t>무선 리모컨</t>
  </si>
  <si>
    <t>AR-EH05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</si>
</sst>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원&quot;;(#,##0)&quot;원&quot;;&quot;-&quot;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1.0"/>
      <color theme="1"/>
      <name val="&quot;맑은 고딕&quot;"/>
    </font>
    <font>
      <sz val="11.0"/>
      <color theme="1"/>
      <name val="&quot;맑은 고딕&quot;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5B8A"/>
        <bgColor rgb="FF2E5B8A"/>
      </patternFill>
    </fill>
    <fill>
      <patternFill patternType="solid">
        <fgColor rgb="FFA6A6A6"/>
        <bgColor rgb="FFA6A6A6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538DD5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38DD5"/>
      </left>
      <right style="thin">
        <color rgb="FF538DD5"/>
      </right>
      <bottom style="thin">
        <color rgb="FF538DD5"/>
      </bottom>
    </border>
    <border>
      <left style="thin">
        <color rgb="FF538DD5"/>
      </left>
      <right style="thin">
        <color rgb="FF538DD5"/>
      </right>
      <top style="thin">
        <color rgb="FF538DD5"/>
      </top>
      <bottom style="thin">
        <color rgb="FF538DD5"/>
      </bottom>
    </border>
    <border>
      <left style="thin">
        <color rgb="FF538DD5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center" readingOrder="0" shrinkToFit="0" wrapText="0"/>
    </xf>
    <xf borderId="0" fillId="0" fontId="4" numFmtId="164" xfId="0" applyFont="1" applyNumberFormat="1"/>
    <xf borderId="2" fillId="3" fontId="3" numFmtId="164" xfId="0" applyAlignment="1" applyBorder="1" applyFill="1" applyFont="1" applyNumberFormat="1">
      <alignment horizontal="center" readingOrder="0" shrinkToFit="0" wrapText="0"/>
    </xf>
    <xf borderId="0" fillId="0" fontId="4" numFmtId="9" xfId="0" applyAlignment="1" applyFont="1" applyNumberFormat="1">
      <alignment readingOrder="0"/>
    </xf>
    <xf borderId="3" fillId="0" fontId="2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horizontal="center" readingOrder="0" shrinkToFit="0" wrapText="0"/>
    </xf>
    <xf borderId="5" fillId="4" fontId="2" numFmtId="0" xfId="0" applyAlignment="1" applyBorder="1" applyFill="1" applyFont="1">
      <alignment horizontal="center" readingOrder="0" shrinkToFit="0" wrapText="0"/>
    </xf>
    <xf borderId="2" fillId="4" fontId="3" numFmtId="0" xfId="0" applyAlignment="1" applyBorder="1" applyFill="1" applyFont="1">
      <alignment horizontal="center" readingOrder="0" shrinkToFit="0" wrapText="0"/>
    </xf>
    <xf borderId="0" fillId="0" fontId="4" numFmtId="9" xfId="0" applyFont="1" applyNumberFormat="1"/>
    <xf borderId="0" fillId="0" fontId="5" numFmtId="0" xfId="0" applyAlignment="1" applyFont="1">
      <alignment readingOrder="0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13"/>
    <col customWidth="1" min="2" max="2" width="18.88"/>
    <col customWidth="1" min="3" max="8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</row>
    <row r="2">
      <c r="E2" s="1" t="s">
        <v>7</v>
      </c>
      <c r="F2" s="1" t="s">
        <v>8</v>
      </c>
    </row>
    <row r="3">
      <c r="A3" s="2" t="s">
        <v>9</v>
      </c>
      <c r="B3" s="3" t="s">
        <v>10</v>
      </c>
      <c r="C3" s="3" t="s">
        <v>11</v>
      </c>
      <c r="D3" s="3">
        <v>3.0</v>
      </c>
      <c r="E3" s="4">
        <f t="shared" ref="E3:E7" si="1">G3*(1-H3)</f>
        <v>4923435</v>
      </c>
      <c r="F3" s="4">
        <f t="shared" ref="F3:F17" si="2">IF(D3="","",D3*E3)</f>
        <v>14770305</v>
      </c>
      <c r="G3" s="5">
        <v>9289500.0</v>
      </c>
      <c r="H3" s="6">
        <v>0.47</v>
      </c>
    </row>
    <row r="4">
      <c r="A4" s="7" t="s">
        <v>12</v>
      </c>
      <c r="B4" s="8" t="s">
        <v>13</v>
      </c>
      <c r="C4" s="8" t="s">
        <v>11</v>
      </c>
      <c r="D4" s="8">
        <v>3.0</v>
      </c>
      <c r="E4" s="4">
        <f t="shared" si="1"/>
        <v>1559525</v>
      </c>
      <c r="F4" s="4">
        <f t="shared" si="2"/>
        <v>4678575</v>
      </c>
      <c r="G4" s="5">
        <v>2942500.0</v>
      </c>
      <c r="H4" s="6">
        <v>0.47</v>
      </c>
    </row>
    <row r="5">
      <c r="A5" s="9" t="s">
        <v>14</v>
      </c>
      <c r="B5" s="3" t="s">
        <v>15</v>
      </c>
      <c r="C5" s="3" t="s">
        <v>16</v>
      </c>
      <c r="D5" s="3">
        <v>1.0</v>
      </c>
      <c r="E5" s="4">
        <f t="shared" si="1"/>
        <v>1367930</v>
      </c>
      <c r="F5" s="4">
        <f t="shared" si="2"/>
        <v>1367930</v>
      </c>
      <c r="G5" s="5">
        <v>2581000.0</v>
      </c>
      <c r="H5" s="6">
        <v>0.47</v>
      </c>
    </row>
    <row r="6">
      <c r="A6" s="9" t="s">
        <v>17</v>
      </c>
      <c r="B6" s="3" t="s">
        <v>18</v>
      </c>
      <c r="C6" s="3" t="s">
        <v>16</v>
      </c>
      <c r="D6" s="3">
        <v>1.0</v>
      </c>
      <c r="E6" s="4">
        <f t="shared" si="1"/>
        <v>132341</v>
      </c>
      <c r="F6" s="4">
        <f t="shared" si="2"/>
        <v>132341</v>
      </c>
      <c r="G6" s="5">
        <v>249700.0</v>
      </c>
      <c r="H6" s="6">
        <v>0.47</v>
      </c>
    </row>
    <row r="7">
      <c r="A7" s="10" t="s">
        <v>19</v>
      </c>
      <c r="B7" s="11" t="s">
        <v>20</v>
      </c>
      <c r="C7" s="11" t="s">
        <v>11</v>
      </c>
      <c r="D7" s="3">
        <v>3.0</v>
      </c>
      <c r="E7" s="4">
        <f t="shared" si="1"/>
        <v>13409</v>
      </c>
      <c r="F7" s="4">
        <f t="shared" si="2"/>
        <v>40227</v>
      </c>
      <c r="G7" s="5">
        <v>25300.0</v>
      </c>
      <c r="H7" s="6">
        <v>0.47</v>
      </c>
    </row>
    <row r="8">
      <c r="E8" s="4"/>
      <c r="F8" s="4" t="str">
        <f t="shared" si="2"/>
        <v/>
      </c>
      <c r="G8" s="4"/>
      <c r="H8" s="12"/>
    </row>
    <row r="9">
      <c r="E9" s="4"/>
      <c r="F9" s="4" t="str">
        <f t="shared" si="2"/>
        <v/>
      </c>
      <c r="G9" s="4"/>
      <c r="H9" s="12"/>
    </row>
    <row r="10">
      <c r="E10" s="4"/>
      <c r="F10" s="4" t="str">
        <f t="shared" si="2"/>
        <v/>
      </c>
      <c r="G10" s="4"/>
      <c r="H10" s="12"/>
    </row>
    <row r="11">
      <c r="E11" s="4"/>
      <c r="F11" s="4" t="str">
        <f t="shared" si="2"/>
        <v/>
      </c>
      <c r="G11" s="4"/>
      <c r="H11" s="12"/>
    </row>
    <row r="12">
      <c r="E12" s="4"/>
      <c r="F12" s="4" t="str">
        <f t="shared" si="2"/>
        <v/>
      </c>
      <c r="G12" s="4"/>
      <c r="H12" s="12"/>
    </row>
    <row r="13">
      <c r="E13" s="4"/>
      <c r="F13" s="4" t="str">
        <f t="shared" si="2"/>
        <v/>
      </c>
      <c r="G13" s="4"/>
      <c r="H13" s="12"/>
    </row>
    <row r="14">
      <c r="E14" s="4"/>
      <c r="F14" s="4" t="str">
        <f t="shared" si="2"/>
        <v/>
      </c>
      <c r="G14" s="4"/>
      <c r="H14" s="12"/>
    </row>
    <row r="15">
      <c r="E15" s="4"/>
      <c r="F15" s="4" t="str">
        <f t="shared" si="2"/>
        <v/>
      </c>
      <c r="G15" s="4"/>
      <c r="H15" s="12"/>
    </row>
    <row r="16">
      <c r="E16" s="4"/>
      <c r="F16" s="4" t="str">
        <f t="shared" si="2"/>
        <v/>
      </c>
      <c r="G16" s="4"/>
      <c r="H16" s="12"/>
    </row>
    <row r="17">
      <c r="E17" s="4"/>
      <c r="F17" s="4" t="str">
        <f t="shared" si="2"/>
        <v/>
      </c>
      <c r="G17" s="4"/>
      <c r="H17" s="12"/>
    </row>
    <row r="18">
      <c r="A18" s="13"/>
      <c r="F18" s="14"/>
    </row>
  </sheetData>
  <mergeCells count="8">
    <mergeCell ref="A1:A2"/>
    <mergeCell ref="B1:B2"/>
    <mergeCell ref="C1:C2"/>
    <mergeCell ref="D1:D2"/>
    <mergeCell ref="E1:F1"/>
    <mergeCell ref="G1:G2"/>
    <mergeCell ref="H1:H2"/>
    <mergeCell ref="A18:E18"/>
  </mergeCells>
  <drawing r:id="rId1"/>
</worksheet>
</file>